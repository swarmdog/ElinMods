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book.xml" ContentType="application/vnd.openxmlformats-officedocument.spreadsheetml.sheet.main+xml"/>
  <ns0:Override PartName="/xl/sharedStrings.xml" ContentType="application/vnd.openxmlformats-officedocument.spreadsheetml.sharedStrings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2730" windowWidth="29040" windowHeight="15840" tabRatio="500" firstSheet="0" activeTab="1" autoFilterDateGrouping="1"/>
  </bookViews>
  <sheets>
    <sheet name="Chara" sheetId="1" state="visible" r:id="rId1"/>
    <sheet name="Quest" sheetId="2" state="visible" r:id="rId2"/>
    <sheet name="CharaText" sheetId="3" state="visible" r:id="rId3"/>
    <sheet name="Thing" sheetId="4" state="visible" r:id="rId4"/>
  </sheets>
  <definedNames>
    <definedName name="_xlnm._FilterDatabase" localSheetId="0" hidden="1">'Chara'!$A$4:$AW$4</definedName>
    <definedName name="_xlnm._FilterDatabase" localSheetId="2" hidden="1">'CharaText'!$A$3:$L$3</definedName>
    <definedName name="_xlnm._FilterDatabase" localSheetId="3" hidden="1">'Thing'!$A$3:$AZ$3</definedName>
  </definedNames>
  <calcPr calcId="191029" fullCalcOnLoad="1" iterateDelta="0.0001"/>
</workbook>
</file>

<file path=xl/sharedStrings.xml><?xml version="1.0" encoding="utf-8"?>
<sst xmlns="http://schemas.openxmlformats.org/spreadsheetml/2006/main" count="256" uniqueCount="256">
  <si>
    <t>id</t>
  </si>
  <si>
    <t>_id</t>
  </si>
  <si>
    <t>name_JP</t>
  </si>
  <si>
    <t>name</t>
  </si>
  <si>
    <t>aka_JP</t>
  </si>
  <si>
    <t>aka</t>
  </si>
  <si>
    <t>idActor</t>
  </si>
  <si>
    <t>sort</t>
  </si>
  <si>
    <t>size</t>
  </si>
  <si>
    <t>_idRenderData</t>
  </si>
  <si>
    <t>tiles</t>
  </si>
  <si>
    <t>tiles_snow</t>
  </si>
  <si>
    <t>colorMod</t>
  </si>
  <si>
    <t>components</t>
  </si>
  <si>
    <t>defMat</t>
  </si>
  <si>
    <t>LV</t>
  </si>
  <si>
    <t>chance</t>
  </si>
  <si>
    <t>quality</t>
  </si>
  <si>
    <t>hostility</t>
  </si>
  <si>
    <t>biome</t>
  </si>
  <si>
    <t>tag</t>
  </si>
  <si>
    <t>trait</t>
  </si>
  <si>
    <t>race</t>
  </si>
  <si>
    <t>job</t>
  </si>
  <si>
    <t>tactics</t>
  </si>
  <si>
    <t>aiIdle</t>
  </si>
  <si>
    <t>aiParam</t>
  </si>
  <si>
    <t>actCombat</t>
  </si>
  <si>
    <t>mainElement</t>
  </si>
  <si>
    <t>elements</t>
  </si>
  <si>
    <t>equip</t>
  </si>
  <si>
    <t>loot</t>
  </si>
  <si>
    <t>category</t>
  </si>
  <si>
    <t>filter</t>
  </si>
  <si>
    <t>gachaFilter</t>
  </si>
  <si>
    <t>tone</t>
  </si>
  <si>
    <t>actIdle</t>
  </si>
  <si>
    <t>lightData</t>
  </si>
  <si>
    <t>idExtra</t>
  </si>
  <si>
    <t>bio</t>
  </si>
  <si>
    <t>faith</t>
  </si>
  <si>
    <t>works</t>
  </si>
  <si>
    <t>hobbies</t>
  </si>
  <si>
    <t>idText</t>
  </si>
  <si>
    <t>moveAnime</t>
  </si>
  <si>
    <t>factory</t>
  </si>
  <si>
    <t>detail_JP</t>
  </si>
  <si>
    <t>detail</t>
  </si>
  <si>
    <t>string</t>
  </si>
  <si>
    <t>string[]</t>
  </si>
  <si>
    <t>int</t>
  </si>
  <si>
    <t>int[]</t>
  </si>
  <si>
    <t>chara</t>
  </si>
  <si>
    <t>log/1</t>
  </si>
  <si>
    <t>!meat</t>
  </si>
  <si>
    <t>100</t>
  </si>
  <si>
    <t>norland</t>
  </si>
  <si>
    <t>none</t>
  </si>
  <si>
    <t>srg_umbryon</t>
  </si>
  <si>
    <t>Umbryon, Herald of Eternal Rot</t>
  </si>
  <si>
    <t>Enemy</t>
  </si>
  <si>
    <t>boss,noRandomProduct</t>
  </si>
  <si>
    <t>UniqueMonster</t>
  </si>
  <si>
    <t>lich</t>
  </si>
  <si>
    <t>warrior</t>
  </si>
  <si>
    <t>bolt_Darkness/50,miasma_Poison/30,ActDrainBlood/60</t>
  </si>
  <si>
    <t>Darkness</t>
  </si>
  <si>
    <t>life/100,resDarkness/20,END/10,WIL/10</t>
  </si>
  <si>
    <t>srg_solaris</t>
  </si>
  <si>
    <t>Solaris, Inferno of the Fallen Star</t>
  </si>
  <si>
    <t>spirit</t>
  </si>
  <si>
    <t>warmage</t>
  </si>
  <si>
    <t>breathe_Fire/70,SpMeteor/10,bolt_Fire/50</t>
  </si>
  <si>
    <t>Fire</t>
  </si>
  <si>
    <t>resFire/30,life/80,MAG/15,mana/30</t>
  </si>
  <si>
    <t>srg_erevor</t>
  </si>
  <si>
    <t>Erevor, The Abyssal Maw</t>
  </si>
  <si>
    <t>chara_L</t>
  </si>
  <si>
    <t>dragon</t>
  </si>
  <si>
    <t>predator</t>
  </si>
  <si>
    <t>SpGravity/50,ActRush,breathe_Void/30</t>
  </si>
  <si>
    <t>Impact</t>
  </si>
  <si>
    <t>life/100,PDR/30,STR/15,END/15</t>
  </si>
  <si>
    <t>srg_quasarix</t>
  </si>
  <si>
    <t>Quasarix, Devourer of Light</t>
  </si>
  <si>
    <t>god</t>
  </si>
  <si>
    <t>gunner</t>
  </si>
  <si>
    <t>SpSilence/50,ActGazeDim/30,bolt_Magic/60,SpBane/20</t>
  </si>
  <si>
    <t>resMagic/20,resDarkness/20,life/80,mana/50,MAG/15</t>
  </si>
  <si>
    <t>srg_growth</t>
  </si>
  <si>
    <t>Incomplete Yith Growth</t>
  </si>
  <si>
    <t>noRandomProduct</t>
  </si>
  <si>
    <t>yith</t>
  </si>
  <si>
    <t>2,40,0</t>
  </si>
  <si>
    <t>Wait,SpSilence/5,ActGazeMutation/10,hand_Mind/50,SpSummonMonster/5</t>
  </si>
  <si>
    <t>resNether/10</t>
  </si>
  <si>
    <t>srg_archivist</t>
  </si>
  <si>
    <t>Astral Archivist</t>
  </si>
  <si>
    <t>Neutral</t>
  </si>
  <si>
    <t>neutral,noRandomProduct</t>
  </si>
  <si>
    <t>UniqueChara</t>
  </si>
  <si>
    <t>elea</t>
  </si>
  <si>
    <t>pianist</t>
  </si>
  <si>
    <t>SpHealHeavy/60,SpHero/50/pt</t>
  </si>
  <si>
    <t>featHealer/1,reading/10,MAG/10,WIL/10</t>
  </si>
  <si>
    <t>srg_arkyn</t>
  </si>
  <si>
    <t>Arkyn, Keeper of Stars</t>
  </si>
  <si>
    <t>Friend</t>
  </si>
  <si>
    <t>wizard</t>
  </si>
  <si>
    <t>Research</t>
  </si>
  <si>
    <t>Read</t>
  </si>
  <si>
    <t>type</t>
  </si>
  <si>
    <t>drama</t>
  </si>
  <si>
    <t>idZone</t>
  </si>
  <si>
    <t>group</t>
  </si>
  <si>
    <t>tags</t>
  </si>
  <si>
    <t>money</t>
  </si>
  <si>
    <t>minFame</t>
  </si>
  <si>
    <t>talkProgress_JP</t>
  </si>
  <si>
    <t>talkProgress</t>
  </si>
  <si>
    <t>talkComplete_JP</t>
  </si>
  <si>
    <t>talkComplete</t>
  </si>
  <si>
    <t>skyreader_guild</t>
  </si>
  <si>
    <t>Skyreader Guild</t>
  </si>
  <si>
    <t>あなたは商人ギルドの一員として、ギルドに貢献しなければならない。タスクを達成することで、ギルドの貢献度が獲得できる。貢献度が最大まで達したら、昇進するためにギルドの受付嬢に話しかけよう。</t>
  </si>
  <si>
    <t>You watch the skies, looking for any information on the astrological mysteries you have begun investigating.</t>
  </si>
  <si>
    <t>asdf</t>
  </si>
  <si>
    <t>calm_JP</t>
  </si>
  <si>
    <t>fov_JP</t>
  </si>
  <si>
    <t>aggro_JP</t>
  </si>
  <si>
    <t>dead_JP</t>
  </si>
  <si>
    <t>kill_JP</t>
  </si>
  <si>
    <t>calm</t>
  </si>
  <si>
    <t>fov</t>
  </si>
  <si>
    <t>aggro</t>
  </si>
  <si>
    <t>dead</t>
  </si>
  <si>
    <t>kill</t>
  </si>
  <si>
    <t>unique</t>
  </si>
  <si>
    <t>"the sssssstarssss…"</t>
  </si>
  <si>
    <t>"release!  Mercy!"</t>
  </si>
  <si>
    <t>*wailing gurgle*</t>
  </si>
  <si>
    <t>"aaaAAAAaaaaaAAA"</t>
  </si>
  <si>
    <t>unknown_JP</t>
  </si>
  <si>
    <t>unit_JP</t>
  </si>
  <si>
    <t>naming</t>
  </si>
  <si>
    <t>unit</t>
  </si>
  <si>
    <t>unknown</t>
  </si>
  <si>
    <t>_tileType</t>
  </si>
  <si>
    <t>altTiles</t>
  </si>
  <si>
    <t>anime</t>
  </si>
  <si>
    <t>skins</t>
  </si>
  <si>
    <t>colorType</t>
  </si>
  <si>
    <t>recipeKey</t>
  </si>
  <si>
    <t>disassemble</t>
  </si>
  <si>
    <t>tierGroup</t>
  </si>
  <si>
    <t>value</t>
  </si>
  <si>
    <t>HP</t>
  </si>
  <si>
    <t>weight</t>
  </si>
  <si>
    <t>electricity</t>
  </si>
  <si>
    <t>range</t>
  </si>
  <si>
    <t>attackType</t>
  </si>
  <si>
    <t>offense</t>
  </si>
  <si>
    <t>substats</t>
  </si>
  <si>
    <t>defense</t>
  </si>
  <si>
    <t>idToggleExtra</t>
  </si>
  <si>
    <t>idActorEx</t>
  </si>
  <si>
    <t>idSound</t>
  </si>
  <si>
    <t>workTag</t>
  </si>
  <si>
    <t>roomName_JP</t>
  </si>
  <si>
    <t>roomName</t>
  </si>
  <si>
    <t>個</t>
  </si>
  <si>
    <t>other</t>
  </si>
  <si>
    <t>log</t>
  </si>
  <si>
    <t>oak</t>
  </si>
  <si>
    <t>1000</t>
  </si>
  <si>
    <t>srg_codex</t>
  </si>
  <si>
    <t>astrological codex</t>
  </si>
  <si>
    <t>crafter</t>
  </si>
  <si>
    <t>ObjBig</t>
  </si>
  <si>
    <t>obj</t>
  </si>
  <si>
    <t>*</t>
  </si>
  <si>
    <t>workbench</t>
  </si>
  <si>
    <t>srg_meteorite_source/4,ore_gem/12,log/4,ingot/9</t>
  </si>
  <si>
    <t>paper</t>
  </si>
  <si>
    <t>AstrologicalCodex,reading</t>
  </si>
  <si>
    <t>A codex and instruments of strange design.</t>
  </si>
  <si>
    <t>srg_starchart</t>
  </si>
  <si>
    <t>faint starchart</t>
  </si>
  <si>
    <t>冊</t>
  </si>
  <si>
    <t>map</t>
  </si>
  <si>
    <t>book</t>
  </si>
  <si>
    <t>obj_S flat</t>
  </si>
  <si>
    <t>texture</t>
  </si>
  <si>
    <t>ScrollMap</t>
  </si>
  <si>
    <t>The text on the page seems to waver faintly...</t>
  </si>
  <si>
    <t>srg_scroll_twilight</t>
  </si>
  <si>
    <t>scroll of eternal twilight</t>
  </si>
  <si>
    <t>?</t>
  </si>
  <si>
    <t>scroll</t>
  </si>
  <si>
    <t>book_scroll</t>
  </si>
  <si>
    <t>srg_meteorite_source/5,zettel/1</t>
  </si>
  <si>
    <t>BossScroll</t>
  </si>
  <si>
    <t>noShop</t>
  </si>
  <si>
    <t>The scroll bears the name Umbryon in skyreader sigils.</t>
  </si>
  <si>
    <t>srg_scroll_radiance</t>
  </si>
  <si>
    <t>scroll of infernal radiance</t>
  </si>
  <si>
    <t>The scroll bears the name Solaris in skyreader sigils.</t>
  </si>
  <si>
    <t>srg_scroll_abyss</t>
  </si>
  <si>
    <t>scroll of the abyss</t>
  </si>
  <si>
    <t>The scroll bears the name Erevor in skyreader sigils.</t>
  </si>
  <si>
    <t>srg_scroll_nova</t>
  </si>
  <si>
    <t>scroll of black nova</t>
  </si>
  <si>
    <t>The scroll bears the name Quasarix in skyreader sigils.</t>
  </si>
  <si>
    <t>srg_scroll_convergence</t>
  </si>
  <si>
    <t>astral archivist's summoning scroll</t>
  </si>
  <si>
    <t>srg_meteorite_source/2,meat/10</t>
  </si>
  <si>
    <t>ArchivistScroll</t>
  </si>
  <si>
    <t>An astral archivist's invitation to visit your home.</t>
  </si>
  <si>
    <t>srg_astral_extractor</t>
  </si>
  <si>
    <t>astral extractor</t>
  </si>
  <si>
    <t>_item</t>
  </si>
  <si>
    <t>srg_meteorite_source/1,potion_empty/1</t>
  </si>
  <si>
    <t>glass</t>
  </si>
  <si>
    <t>AstralExtractor</t>
  </si>
  <si>
    <t>A device that pulls stray starlight from meteor-touched beings and objects.</t>
  </si>
  <si>
    <t>srg_meteor_core</t>
  </si>
  <si>
    <t>meteor core</t>
  </si>
  <si>
    <t>junk</t>
  </si>
  <si>
    <t>obj_S</t>
  </si>
  <si>
    <t>granite</t>
  </si>
  <si>
    <t>MeteorCore</t>
  </si>
  <si>
    <t>A pulsing core of extraterrestrial origin. It thrums with energy.</t>
  </si>
  <si>
    <t>srg_meteorite_source</t>
  </si>
  <si>
    <t>meteorite source</t>
  </si>
  <si>
    <t>ore</t>
  </si>
  <si>
    <t>resource_ore</t>
  </si>
  <si>
    <t>gold</t>
  </si>
  <si>
    <t>ResourceMain</t>
  </si>
  <si>
    <t>A fragment of fallen star, rich with rare minerals.</t>
  </si>
  <si>
    <t>srg_debris</t>
  </si>
  <si>
    <t>impact debris</t>
  </si>
  <si>
    <t>Scorched fragments from a meteor impact.</t>
  </si>
  <si>
    <t>srg_weave_stars</t>
  </si>
  <si>
    <t>weave of the stars</t>
  </si>
  <si>
    <t>srg_meteorite_source/2</t>
  </si>
  <si>
    <t>StarImbuement,weave</t>
  </si>
  <si>
    <t>Starlight folded into a form that can settle into armor.</t>
  </si>
  <si>
    <t>srg_starforge</t>
  </si>
  <si>
    <t>starforge spark</t>
  </si>
  <si>
    <t>StarImbuement,forge</t>
  </si>
  <si>
    <t>A shard of intent for awakening weapons beneath starlight.</t>
  </si>
  <si>
    <t>srg_astral_portal</t>
  </si>
  <si>
    <t>astral portal</t>
  </si>
  <si>
    <t>AstralPortal</t>
  </si>
  <si>
    <t>noShop,noWish</t>
  </si>
  <si>
    <t>A shimmering gateway to an astral rift.</t>
  </si>
</sst>
</file>

<file path=xl/styles.xml><?xml version="1.0" encoding="utf-8"?>
<styleSheet xmlns="http://schemas.openxmlformats.org/spreadsheetml/2006/main">
  <numFmts count="0"/>
  <fonts count="10">
    <font>
      <name val="游ゴシック"/>
      <charset val="128"/>
      <family val="2"/>
      <sz val="10"/>
    </font>
    <font>
      <name val="Arial"/>
      <charset val="128"/>
      <family val="2"/>
      <sz val="11"/>
    </font>
    <font>
      <name val="Arial"/>
      <charset val="128"/>
      <family val="2"/>
      <sz val="10"/>
    </font>
    <font>
      <name val="ヒラギノ角ゴ ProN W3"/>
      <charset val="128"/>
      <family val="2"/>
      <color rgb="FF000000"/>
      <sz val="10"/>
    </font>
    <font>
      <name val="Segoe UI"/>
      <charset val="128"/>
      <family val="2"/>
      <sz val="10"/>
    </font>
    <font>
      <name val="Times New Roman"/>
      <charset val="128"/>
      <family val="1"/>
      <sz val="10"/>
    </font>
    <font>
      <name val="游ゴシック"/>
      <charset val="128"/>
      <family val="2"/>
      <sz val="8"/>
    </font>
    <font>
      <name val="Arial"/>
      <family val="2"/>
      <sz val="10"/>
    </font>
    <font>
      <name val="游ゴシック"/>
      <sz val="10"/>
    </font>
    <font>
      <name val="MS PGothic"/>
      <family val="2"/>
      <sz val="11"/>
    </font>
  </fonts>
  <fills count="3">
    <fill>
      <patternFill/>
    </fill>
    <fill>
      <patternFill patternType="gray125"/>
    </fill>
    <fill>
      <patternFill patternType="solid">
        <fgColor rgb="FFDDE8CB"/>
        <bgColor rgb="FFFFFFCC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49" fontId="0" fillId="0" borderId="0"/>
    <xf numFmtId="0" fontId="1" fillId="0" borderId="0" applyAlignment="1">
      <alignment vertical="center"/>
    </xf>
    <xf numFmtId="49" fontId="2" fillId="0" borderId="0"/>
  </cellStyleXfs>
  <cellXfs count="26">
    <xf numFmtId="49" fontId="0" fillId="0" borderId="0" pivotButton="0" quotePrefix="0" xfId="0"/>
    <xf numFmtId="49" fontId="0" fillId="0" borderId="0" pivotButton="0" quotePrefix="0" xfId="2"/>
    <xf numFmtId="0" fontId="0" fillId="0" borderId="0" pivotButton="0" quotePrefix="0" xfId="2"/>
    <xf numFmtId="0" fontId="0" fillId="0" borderId="0" applyAlignment="1" pivotButton="0" quotePrefix="0" xfId="2">
      <alignment horizontal="left"/>
    </xf>
    <xf numFmtId="49" fontId="3" fillId="0" borderId="0" pivotButton="0" quotePrefix="0" xfId="2"/>
    <xf numFmtId="49" fontId="2" fillId="0" borderId="0" pivotButton="0" quotePrefix="0" xfId="2"/>
    <xf numFmtId="0" fontId="2" fillId="0" borderId="0" pivotButton="0" quotePrefix="0" xfId="2"/>
    <xf numFmtId="0" fontId="0" fillId="0" borderId="0" applyAlignment="1" pivotButton="0" quotePrefix="0" xfId="0">
      <alignment horizontal="left"/>
    </xf>
    <xf numFmtId="49" fontId="3" fillId="0" borderId="0" applyProtection="1" pivotButton="0" quotePrefix="0" xfId="2">
      <protection locked="0" hidden="0"/>
    </xf>
    <xf numFmtId="49" fontId="3" fillId="0" borderId="0" pivotButton="0" quotePrefix="0" xfId="0"/>
    <xf numFmtId="49" fontId="2" fillId="2" borderId="0" pivotButton="0" quotePrefix="0" xfId="2"/>
    <xf numFmtId="0" fontId="0" fillId="2" borderId="0" pivotButton="0" quotePrefix="0" xfId="2"/>
    <xf numFmtId="49" fontId="0" fillId="2" borderId="0" pivotButton="0" quotePrefix="0" xfId="2"/>
    <xf numFmtId="0" fontId="0" fillId="2" borderId="0" applyAlignment="1" pivotButton="0" quotePrefix="0" xfId="2">
      <alignment horizontal="left"/>
    </xf>
    <xf numFmtId="49" fontId="3" fillId="2" borderId="0" pivotButton="0" quotePrefix="0" xfId="2"/>
    <xf numFmtId="49" fontId="0" fillId="2" borderId="0" pivotButton="0" quotePrefix="0" xfId="0"/>
    <xf numFmtId="49" fontId="0" fillId="0" borderId="0" applyAlignment="1" pivotButton="0" quotePrefix="0" xfId="0">
      <alignment wrapText="1"/>
    </xf>
    <xf numFmtId="49" fontId="4" fillId="0" borderId="0" applyAlignment="1" pivotButton="0" quotePrefix="0" xfId="0">
      <alignment wrapText="1"/>
    </xf>
    <xf numFmtId="49" fontId="5" fillId="0" borderId="0" pivotButton="0" quotePrefix="0" xfId="0"/>
    <xf numFmtId="3" fontId="0" fillId="0" borderId="0" pivotButton="0" quotePrefix="0" xfId="2"/>
    <xf numFmtId="3" fontId="0" fillId="0" borderId="0" pivotButton="0" quotePrefix="0" xfId="0"/>
    <xf numFmtId="0" fontId="0" fillId="0" borderId="0" pivotButton="0" quotePrefix="0" xfId="0"/>
    <xf numFmtId="49" fontId="7" fillId="0" borderId="0" pivotButton="0" quotePrefix="0" xfId="0"/>
    <xf numFmtId="49" fontId="7" fillId="0" borderId="1" applyAlignment="1" pivotButton="0" quotePrefix="0" xfId="0">
      <alignment wrapText="1"/>
    </xf>
    <xf numFmtId="49" fontId="8" fillId="0" borderId="1" applyAlignment="1" pivotButton="0" quotePrefix="0" xfId="0">
      <alignment wrapText="1"/>
    </xf>
    <xf numFmtId="49" fontId="9" fillId="0" borderId="1" applyAlignment="1" pivotButton="0" quotePrefix="0" xfId="0">
      <alignment wrapText="1"/>
    </xf>
  </cellXfs>
  <cellStyles count="3">
    <cellStyle name="Normal" xfId="0" builtinId="0"/>
    <cellStyle name="Normal 2" xfId="1"/>
    <cellStyle name="Excel Built-in Normal" xfId="2"/>
  </cellStyles>
  <dxfs count="2">
    <dxf>
      <font>
        <name val="游ゴシック"/>
        <charset val="128"/>
        <family val="2"/>
        <color rgb="FFCC0000"/>
      </font>
      <numFmt numFmtId="30" formatCode="@"/>
      <fill>
        <patternFill>
          <bgColor rgb="FFFFCCCC"/>
        </patternFill>
      </fill>
    </dxf>
    <dxf>
      <font>
        <name val="游ゴシック"/>
        <charset val="128"/>
        <family val="2"/>
        <color rgb="FFCC0000"/>
      </font>
      <numFmt numFmtId="30" formatCode="@"/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styles" Target="styles.xml" Id="rId5" /><ns0:Relationship Type="http://schemas.openxmlformats.org/officeDocument/2006/relationships/theme" Target="theme/theme1.xml" Id="rId6" /><ns0:Relationship Id="rId7" Type="http://schemas.openxmlformats.org/officeDocument/2006/relationships/sharedStrings" Target="sharedStrings.xml" /></ns0: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10"/>
  <sheetViews>
    <sheetView zoomScaleNormal="100" workbookViewId="0">
      <pane xSplit="5" ySplit="3" topLeftCell="F4" activePane="bottomRight" state="frozen"/>
      <selection pane="topRight" activeCell="N1" sqref="N1"/>
      <selection pane="bottomLeft" activeCell="A4" sqref="A4"/>
      <selection pane="bottomRight" activeCell="W10" sqref="W10"/>
    </sheetView>
  </sheetViews>
  <sheetFormatPr baseColWidth="8" defaultColWidth="7.5703125" defaultRowHeight="16.5"/>
  <cols>
    <col width="30" bestFit="1" customWidth="1" style="1" min="1" max="1"/>
    <col width="3.42578125" bestFit="1" customWidth="1" style="2" min="2" max="2"/>
    <col width="16.42578125" bestFit="1" customWidth="1" style="1" min="3" max="3"/>
    <col width="18.7109375" bestFit="1" customWidth="1" style="1" min="4" max="4"/>
    <col width="7" bestFit="1" customWidth="1" style="1" min="5" max="5"/>
    <col width="6" bestFit="1" customWidth="1" style="1" min="6" max="6"/>
    <col width="6.85546875" bestFit="1" customWidth="1" style="1" min="7" max="7"/>
    <col width="4.42578125" bestFit="1" customWidth="1" style="1" min="8" max="8"/>
    <col width="4.7109375" bestFit="1" customWidth="1" style="1" min="9" max="9"/>
    <col width="13.28515625" bestFit="1" customWidth="1" style="1" min="10" max="10"/>
    <col width="7.28515625" bestFit="1" customWidth="1" style="1" min="11" max="11"/>
    <col width="9.7109375" bestFit="1" customWidth="1" style="1" min="12" max="12"/>
    <col width="8.5703125" customWidth="1" style="1" min="13" max="13"/>
    <col width="11.140625" bestFit="1" customWidth="1" style="1" min="14" max="14"/>
    <col width="6.5703125" bestFit="1" customWidth="1" style="1" min="15" max="15"/>
    <col width="4.28515625" bestFit="1" customWidth="1" style="3" min="16" max="16"/>
    <col width="9.28515625" bestFit="1" customWidth="1" style="1" min="17" max="17"/>
    <col width="6.7109375" bestFit="1" customWidth="1" style="1" min="18" max="18"/>
    <col width="9.140625" bestFit="1" customWidth="1" style="1" min="19" max="19"/>
    <col width="7.42578125" bestFit="1" customWidth="1" style="1" min="20" max="20"/>
    <col width="6.7109375" bestFit="1" customWidth="1" style="1" min="21" max="21"/>
    <col width="7.42578125" bestFit="1" customWidth="1" style="1" min="22" max="22"/>
    <col width="9.7109375" bestFit="1" customWidth="1" style="1" min="23" max="23"/>
    <col width="6" bestFit="1" customWidth="1" style="1" min="24" max="24"/>
    <col width="6.5703125" bestFit="1" customWidth="1" style="1" min="25" max="25"/>
    <col width="5.5703125" bestFit="1" customWidth="1" style="1" min="26" max="26"/>
    <col width="8" bestFit="1" customWidth="1" style="1" min="27" max="27"/>
    <col width="10.42578125" bestFit="1" customWidth="1" style="1" min="28" max="28"/>
    <col width="12.140625" bestFit="1" customWidth="1" style="1" min="29" max="29"/>
    <col width="8.85546875" bestFit="1" customWidth="1" style="1" min="30" max="30"/>
    <col width="5.5703125" bestFit="1" customWidth="1" style="1" min="31" max="31"/>
    <col width="7.42578125" bestFit="1" customWidth="1" style="1" min="32" max="32"/>
    <col width="8.28515625" bestFit="1" customWidth="1" style="1" min="33" max="33"/>
    <col width="6.7109375" bestFit="1" customWidth="1" style="1" min="34" max="34"/>
    <col width="10.42578125" bestFit="1" customWidth="1" style="1" min="35" max="35"/>
    <col width="5.5703125" bestFit="1" customWidth="1" style="1" min="36" max="36"/>
    <col width="7.42578125" bestFit="1" customWidth="1" style="1" min="37" max="37"/>
    <col width="8.85546875" bestFit="1" customWidth="1" style="1" min="38" max="38"/>
    <col width="7" customWidth="1" style="1" min="39" max="39"/>
    <col width="6" bestFit="1" customWidth="1" style="1" min="40" max="41"/>
    <col width="7.42578125" bestFit="1" customWidth="1" style="1" min="42" max="42"/>
    <col width="7.85546875" bestFit="1" customWidth="1" style="1" min="43" max="43"/>
    <col width="14.140625" bestFit="1" customWidth="1" style="1" min="44" max="44"/>
    <col width="10.7109375" bestFit="1" customWidth="1" style="1" min="45" max="45"/>
    <col width="6.85546875" bestFit="1" customWidth="1" style="1" min="46" max="46"/>
    <col width="11.7109375" bestFit="1" customWidth="1" style="1" min="47" max="47"/>
    <col width="8.5703125" bestFit="1" customWidth="1" style="1" min="48" max="48"/>
    <col width="5.5703125" bestFit="1" customWidth="1" style="1" min="49" max="49"/>
    <col width="7.42578125" customWidth="1" style="4" min="50" max="16343"/>
    <col width="11.5703125" customWidth="1" style="21" min="16344" max="16384"/>
  </cols>
  <sheetData>
    <row r="1" ht="12.75" customFormat="1" customHeight="1" s="8">
      <c r="A1" s="5" t="s">
        <v>0</v>
      </c>
      <c r="B1" s="6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5" t="s">
        <v>6</v>
      </c>
      <c r="H1" s="0" t="s">
        <v>7</v>
      </c>
      <c r="I1" s="0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7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5" t="s">
        <v>20</v>
      </c>
      <c r="V1" s="0" t="s">
        <v>21</v>
      </c>
      <c r="W1" s="0" t="s">
        <v>22</v>
      </c>
      <c r="X1" s="0" t="s">
        <v>23</v>
      </c>
      <c r="Y1" s="5" t="s">
        <v>24</v>
      </c>
      <c r="Z1" s="5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5" t="s">
        <v>30</v>
      </c>
      <c r="AF1" s="0" t="s">
        <v>31</v>
      </c>
      <c r="AG1" s="0" t="s">
        <v>32</v>
      </c>
      <c r="AH1" s="5" t="s">
        <v>33</v>
      </c>
      <c r="AI1" s="5" t="s">
        <v>34</v>
      </c>
      <c r="AJ1" s="5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13</v>
      </c>
      <c r="AV1" s="5" t="s">
        <v>46</v>
      </c>
      <c r="AW1" s="5" t="s">
        <v>47</v>
      </c>
      <c r="XDP1" s="0" t="n"/>
      <c r="XDQ1" s="0" t="n"/>
      <c r="XDR1" s="0" t="n"/>
      <c r="XDS1" s="0" t="n"/>
      <c r="XDT1" s="0" t="n"/>
      <c r="XDU1" s="0" t="n"/>
      <c r="XDV1" s="0" t="n"/>
      <c r="XDW1" s="0" t="n"/>
      <c r="XDX1" s="0" t="n"/>
      <c r="XDY1" s="0" t="n"/>
      <c r="XDZ1" s="0" t="n"/>
      <c r="XEA1" s="0" t="n"/>
      <c r="XEB1" s="0" t="n"/>
      <c r="XEC1" s="0" t="n"/>
      <c r="XED1" s="0" t="n"/>
      <c r="XEE1" s="0" t="n"/>
      <c r="XEF1" s="0" t="n"/>
      <c r="XEG1" s="0" t="n"/>
      <c r="XEH1" s="0" t="n"/>
      <c r="XEI1" s="0" t="n"/>
      <c r="XEJ1" s="0" t="n"/>
      <c r="XEK1" s="0" t="n"/>
      <c r="XEL1" s="0" t="n"/>
      <c r="XEM1" s="0" t="n"/>
      <c r="XEN1" s="0" t="n"/>
      <c r="XEO1" s="0" t="n"/>
      <c r="XEP1" s="0" t="n"/>
      <c r="XEQ1" s="0" t="n"/>
      <c r="XER1" s="0" t="n"/>
      <c r="XES1" s="0" t="n"/>
      <c r="XET1" s="0" t="n"/>
      <c r="XEU1" s="0" t="n"/>
      <c r="XEV1" s="0" t="n"/>
      <c r="XEW1" s="0" t="n"/>
      <c r="XEX1" s="0" t="n"/>
      <c r="XEY1" s="0" t="n"/>
      <c r="XEZ1" s="0" t="n"/>
      <c r="XFA1" s="0" t="n"/>
      <c r="XFB1" s="0" t="n"/>
      <c r="XFC1" s="0" t="n"/>
      <c r="XFD1" s="0" t="n"/>
    </row>
    <row r="2" ht="12.75" customFormat="1" customHeight="1" s="8">
      <c r="A2" s="5" t="s">
        <v>48</v>
      </c>
      <c r="B2" s="2" t="n"/>
      <c r="C2" s="0" t="s">
        <v>48</v>
      </c>
      <c r="D2" s="0" t="s">
        <v>48</v>
      </c>
      <c r="E2" s="0" t="s">
        <v>48</v>
      </c>
      <c r="F2" s="0" t="s">
        <v>48</v>
      </c>
      <c r="G2" s="5" t="s">
        <v>49</v>
      </c>
      <c r="H2" s="0" t="s">
        <v>50</v>
      </c>
      <c r="I2" s="0" t="s">
        <v>51</v>
      </c>
      <c r="J2" s="5" t="s">
        <v>48</v>
      </c>
      <c r="K2" s="5" t="s">
        <v>51</v>
      </c>
      <c r="L2" s="5" t="s">
        <v>51</v>
      </c>
      <c r="M2" s="5" t="s">
        <v>50</v>
      </c>
      <c r="N2" s="5" t="s">
        <v>49</v>
      </c>
      <c r="O2" s="5" t="s">
        <v>48</v>
      </c>
      <c r="P2" s="7" t="s">
        <v>50</v>
      </c>
      <c r="Q2" s="0" t="s">
        <v>50</v>
      </c>
      <c r="R2" s="0" t="s">
        <v>50</v>
      </c>
      <c r="S2" s="0" t="s">
        <v>48</v>
      </c>
      <c r="T2" s="0" t="s">
        <v>48</v>
      </c>
      <c r="U2" s="5" t="s">
        <v>49</v>
      </c>
      <c r="V2" s="0" t="s">
        <v>49</v>
      </c>
      <c r="W2" s="0" t="s">
        <v>48</v>
      </c>
      <c r="X2" s="0" t="s">
        <v>48</v>
      </c>
      <c r="Y2" s="5" t="s">
        <v>48</v>
      </c>
      <c r="Z2" s="5" t="s">
        <v>48</v>
      </c>
      <c r="AA2" s="0" t="s">
        <v>51</v>
      </c>
      <c r="AB2" s="0" t="s">
        <v>49</v>
      </c>
      <c r="AC2" s="0" t="s">
        <v>49</v>
      </c>
      <c r="AD2" s="0" t="s">
        <v>29</v>
      </c>
      <c r="AE2" s="5" t="s">
        <v>48</v>
      </c>
      <c r="AF2" s="0" t="s">
        <v>49</v>
      </c>
      <c r="AG2" s="0" t="s">
        <v>48</v>
      </c>
      <c r="AH2" s="5" t="s">
        <v>49</v>
      </c>
      <c r="AI2" s="5" t="s">
        <v>49</v>
      </c>
      <c r="AJ2" s="5" t="s">
        <v>48</v>
      </c>
      <c r="AK2" s="0" t="s">
        <v>49</v>
      </c>
      <c r="AL2" s="0" t="s">
        <v>48</v>
      </c>
      <c r="AM2" s="0" t="s">
        <v>48</v>
      </c>
      <c r="AN2" s="0" t="s">
        <v>48</v>
      </c>
      <c r="AO2" s="0" t="s">
        <v>48</v>
      </c>
      <c r="AP2" s="0" t="s">
        <v>49</v>
      </c>
      <c r="AQ2" s="0" t="s">
        <v>49</v>
      </c>
      <c r="AR2" s="0" t="s">
        <v>48</v>
      </c>
      <c r="AS2" s="0" t="s">
        <v>48</v>
      </c>
      <c r="AT2" s="9" t="s">
        <v>49</v>
      </c>
      <c r="AU2" s="9" t="s">
        <v>49</v>
      </c>
      <c r="AV2" s="5" t="s">
        <v>48</v>
      </c>
      <c r="AW2" s="5" t="s">
        <v>48</v>
      </c>
      <c r="XDP2" s="0" t="n"/>
      <c r="XDQ2" s="0" t="n"/>
      <c r="XDR2" s="0" t="n"/>
      <c r="XDS2" s="0" t="n"/>
      <c r="XDT2" s="0" t="n"/>
      <c r="XDU2" s="0" t="n"/>
      <c r="XDV2" s="0" t="n"/>
      <c r="XDW2" s="0" t="n"/>
      <c r="XDX2" s="0" t="n"/>
      <c r="XDY2" s="0" t="n"/>
      <c r="XDZ2" s="0" t="n"/>
      <c r="XEA2" s="0" t="n"/>
      <c r="XEB2" s="0" t="n"/>
      <c r="XEC2" s="0" t="n"/>
      <c r="XED2" s="0" t="n"/>
      <c r="XEE2" s="0" t="n"/>
      <c r="XEF2" s="0" t="n"/>
      <c r="XEG2" s="0" t="n"/>
      <c r="XEH2" s="0" t="n"/>
      <c r="XEI2" s="0" t="n"/>
      <c r="XEJ2" s="0" t="n"/>
      <c r="XEK2" s="0" t="n"/>
      <c r="XEL2" s="0" t="n"/>
      <c r="XEM2" s="0" t="n"/>
      <c r="XEN2" s="0" t="n"/>
      <c r="XEO2" s="0" t="n"/>
      <c r="XEP2" s="0" t="n"/>
      <c r="XEQ2" s="0" t="n"/>
      <c r="XER2" s="0" t="n"/>
      <c r="XES2" s="0" t="n"/>
      <c r="XET2" s="0" t="n"/>
      <c r="XEU2" s="0" t="n"/>
      <c r="XEV2" s="0" t="n"/>
      <c r="XEW2" s="0" t="n"/>
      <c r="XEX2" s="0" t="n"/>
      <c r="XEY2" s="0" t="n"/>
      <c r="XEZ2" s="0" t="n"/>
      <c r="XFA2" s="0" t="n"/>
      <c r="XFB2" s="0" t="n"/>
      <c r="XFC2" s="0" t="n"/>
      <c r="XFD2" s="0" t="n"/>
    </row>
    <row r="3" ht="12.75" customFormat="1" customHeight="1" s="8">
      <c r="A3" s="1" t="n"/>
      <c r="B3" s="3">
        <f>MAX(B4:B10299)</f>
        <v/>
      </c>
      <c r="C3" s="0" t="n"/>
      <c r="D3" s="0" t="n"/>
      <c r="E3" s="0" t="n"/>
      <c r="F3" s="0" t="n"/>
      <c r="G3" s="1" t="n"/>
      <c r="H3" s="0" t="n"/>
      <c r="I3" s="0" t="n"/>
      <c r="J3" s="5" t="s">
        <v>52</v>
      </c>
      <c r="K3" s="1" t="n">
        <v>0</v>
      </c>
      <c r="L3" s="1" t="n"/>
      <c r="M3" s="1" t="n">
        <v>0</v>
      </c>
      <c r="N3" s="5" t="s">
        <v>53</v>
      </c>
      <c r="O3" s="5" t="s">
        <v>54</v>
      </c>
      <c r="P3" s="7" t="n">
        <v>1</v>
      </c>
      <c r="Q3" s="0" t="s">
        <v>55</v>
      </c>
      <c r="R3" s="0" t="n"/>
      <c r="S3" s="0" t="n"/>
      <c r="T3" s="0" t="n"/>
      <c r="U3" s="1" t="n"/>
      <c r="V3" s="0" t="n"/>
      <c r="W3" s="0" t="s">
        <v>56</v>
      </c>
      <c r="X3" s="0" t="s">
        <v>57</v>
      </c>
      <c r="Y3" s="1" t="n"/>
      <c r="Z3" s="1" t="n"/>
      <c r="AA3" s="0" t="n"/>
      <c r="AB3" s="0" t="n"/>
      <c r="AC3" s="0" t="n"/>
      <c r="AD3" s="0" t="n"/>
      <c r="AE3" s="1" t="n"/>
      <c r="AF3" s="0" t="n"/>
      <c r="AG3" s="0" t="s">
        <v>52</v>
      </c>
      <c r="AH3" s="1" t="n"/>
      <c r="AI3" s="1" t="n"/>
      <c r="AJ3" s="1" t="n"/>
      <c r="AK3" s="0" t="n"/>
      <c r="AL3" s="0" t="n"/>
      <c r="AM3" s="0" t="n"/>
      <c r="AN3" s="0" t="n"/>
      <c r="AO3" s="0" t="n"/>
      <c r="AP3" s="0" t="n"/>
      <c r="AQ3" s="0" t="n"/>
      <c r="AR3" s="0" t="n"/>
      <c r="AS3" s="0" t="n"/>
      <c r="AT3" s="0" t="n"/>
      <c r="AU3" s="0" t="n"/>
      <c r="AV3" s="1" t="n"/>
      <c r="AW3" s="1" t="n"/>
      <c r="XDP3" s="0" t="n"/>
      <c r="XDQ3" s="0" t="n"/>
      <c r="XDR3" s="0" t="n"/>
      <c r="XDS3" s="0" t="n"/>
      <c r="XDT3" s="0" t="n"/>
      <c r="XDU3" s="0" t="n"/>
      <c r="XDV3" s="0" t="n"/>
      <c r="XDW3" s="0" t="n"/>
      <c r="XDX3" s="0" t="n"/>
      <c r="XDY3" s="0" t="n"/>
      <c r="XDZ3" s="0" t="n"/>
      <c r="XEA3" s="0" t="n"/>
      <c r="XEB3" s="0" t="n"/>
      <c r="XEC3" s="0" t="n"/>
      <c r="XED3" s="0" t="n"/>
      <c r="XEE3" s="0" t="n"/>
      <c r="XEF3" s="0" t="n"/>
      <c r="XEG3" s="0" t="n"/>
      <c r="XEH3" s="0" t="n"/>
      <c r="XEI3" s="0" t="n"/>
      <c r="XEJ3" s="0" t="n"/>
      <c r="XEK3" s="0" t="n"/>
      <c r="XEL3" s="0" t="n"/>
      <c r="XEM3" s="0" t="n"/>
      <c r="XEN3" s="0" t="n"/>
      <c r="XEO3" s="0" t="n"/>
      <c r="XEP3" s="0" t="n"/>
      <c r="XEQ3" s="0" t="n"/>
      <c r="XER3" s="0" t="n"/>
      <c r="XES3" s="0" t="n"/>
      <c r="XET3" s="0" t="n"/>
      <c r="XEU3" s="0" t="n"/>
      <c r="XEV3" s="0" t="n"/>
      <c r="XEW3" s="0" t="n"/>
      <c r="XEX3" s="0" t="n"/>
      <c r="XEY3" s="0" t="n"/>
      <c r="XEZ3" s="0" t="n"/>
      <c r="XFA3" s="0" t="n"/>
      <c r="XFB3" s="0" t="n"/>
      <c r="XFC3" s="0" t="n"/>
      <c r="XFD3" s="0" t="n"/>
    </row>
    <row r="4" ht="13.5" customFormat="1" customHeight="1" s="14">
      <c r="A4" s="1" t="s">
        <v>58</v>
      </c>
      <c r="B4" s="0" t="n">
        <v>900501</v>
      </c>
      <c r="D4" s="1" t="s">
        <v>59</v>
      </c>
      <c r="K4" s="0" t="n">
        <v>1502</v>
      </c>
      <c r="P4" s="0" t="n">
        <v>35</v>
      </c>
      <c r="Q4" s="0" t="n">
        <v>0</v>
      </c>
      <c r="R4" s="0" t="n">
        <v>3</v>
      </c>
      <c r="S4" s="0" t="s">
        <v>60</v>
      </c>
      <c r="U4" s="0" t="s">
        <v>61</v>
      </c>
      <c r="V4" s="0" t="s">
        <v>62</v>
      </c>
      <c r="W4" s="0" t="s">
        <v>63</v>
      </c>
      <c r="X4" s="0" t="s">
        <v>64</v>
      </c>
      <c r="AB4" s="0" t="s">
        <v>65</v>
      </c>
      <c r="AC4" s="0" t="s">
        <v>66</v>
      </c>
      <c r="AD4" s="0" t="s">
        <v>67</v>
      </c>
    </row>
    <row r="5">
      <c r="A5" s="1" t="s">
        <v>68</v>
      </c>
      <c r="B5" s="0" t="n">
        <v>900502</v>
      </c>
      <c r="D5" s="1" t="s">
        <v>69</v>
      </c>
      <c r="K5" s="0" t="n">
        <v>1713</v>
      </c>
      <c r="P5" s="0" t="n">
        <v>40</v>
      </c>
      <c r="Q5" s="0" t="n">
        <v>0</v>
      </c>
      <c r="R5" s="0" t="n">
        <v>3</v>
      </c>
      <c r="S5" s="0" t="s">
        <v>60</v>
      </c>
      <c r="U5" s="0" t="s">
        <v>61</v>
      </c>
      <c r="V5" s="0" t="s">
        <v>62</v>
      </c>
      <c r="W5" s="0" t="s">
        <v>70</v>
      </c>
      <c r="X5" s="0" t="s">
        <v>71</v>
      </c>
      <c r="AB5" s="0" t="s">
        <v>72</v>
      </c>
      <c r="AC5" s="0" t="s">
        <v>73</v>
      </c>
      <c r="AD5" s="0" t="s">
        <v>74</v>
      </c>
    </row>
    <row r="6">
      <c r="A6" s="1" t="s">
        <v>75</v>
      </c>
      <c r="B6" s="0" t="n">
        <v>900503</v>
      </c>
      <c r="D6" s="1" t="s">
        <v>76</v>
      </c>
      <c r="J6" s="0" t="s">
        <v>77</v>
      </c>
      <c r="K6" s="0" t="n">
        <v>104</v>
      </c>
      <c r="P6" s="0" t="n">
        <v>45</v>
      </c>
      <c r="Q6" s="0" t="n">
        <v>0</v>
      </c>
      <c r="R6" s="0" t="n">
        <v>3</v>
      </c>
      <c r="S6" s="0" t="s">
        <v>60</v>
      </c>
      <c r="U6" s="0" t="s">
        <v>61</v>
      </c>
      <c r="V6" s="0" t="s">
        <v>62</v>
      </c>
      <c r="W6" s="0" t="s">
        <v>78</v>
      </c>
      <c r="X6" s="0" t="s">
        <v>79</v>
      </c>
      <c r="AB6" s="0" t="s">
        <v>80</v>
      </c>
      <c r="AC6" s="0" t="s">
        <v>81</v>
      </c>
      <c r="AD6" s="0" t="s">
        <v>82</v>
      </c>
    </row>
    <row r="7">
      <c r="A7" s="1" t="s">
        <v>83</v>
      </c>
      <c r="B7" s="0" t="n">
        <v>900504</v>
      </c>
      <c r="D7" s="1" t="s">
        <v>84</v>
      </c>
      <c r="K7" s="0" t="n">
        <v>2317</v>
      </c>
      <c r="P7" s="0" t="n">
        <v>50</v>
      </c>
      <c r="Q7" s="0" t="n">
        <v>0</v>
      </c>
      <c r="R7" s="0" t="n">
        <v>3</v>
      </c>
      <c r="S7" s="0" t="s">
        <v>60</v>
      </c>
      <c r="U7" s="0" t="s">
        <v>61</v>
      </c>
      <c r="V7" s="0" t="s">
        <v>62</v>
      </c>
      <c r="W7" s="0" t="s">
        <v>85</v>
      </c>
      <c r="X7" s="0" t="s">
        <v>86</v>
      </c>
      <c r="AB7" s="0" t="s">
        <v>87</v>
      </c>
      <c r="AC7" s="0" t="s">
        <v>66</v>
      </c>
      <c r="AD7" s="0" t="s">
        <v>88</v>
      </c>
    </row>
    <row r="8">
      <c r="A8" s="1" t="s">
        <v>89</v>
      </c>
      <c r="B8" t="n">
        <v>900101</v>
      </c>
      <c r="C8" s="1" t="s">
        <v>90</v>
      </c>
      <c r="D8" s="1" t="s">
        <v>90</v>
      </c>
      <c r="J8" t="s">
        <v>77</v>
      </c>
      <c r="K8" t="n">
        <v>16</v>
      </c>
      <c r="P8" s="3" t="n">
        <v>18</v>
      </c>
      <c r="Q8" t="n">
        <v>0</v>
      </c>
      <c r="S8" t="s">
        <v>60</v>
      </c>
      <c r="U8" t="s">
        <v>91</v>
      </c>
      <c r="W8" s="1" t="s">
        <v>92</v>
      </c>
      <c r="X8" t="s">
        <v>79</v>
      </c>
      <c r="AA8" s="22" t="s">
        <v>93</v>
      </c>
      <c r="AB8" s="1" t="s">
        <v>94</v>
      </c>
      <c r="AD8" s="1" t="s">
        <v>95</v>
      </c>
    </row>
    <row r="9">
      <c r="A9" s="1" t="s">
        <v>96</v>
      </c>
      <c r="B9" s="0" t="n">
        <v>900505</v>
      </c>
      <c r="D9" s="1" t="s">
        <v>97</v>
      </c>
      <c r="K9" s="0" t="n">
        <v>1216</v>
      </c>
      <c r="P9" s="3" t="n">
        <v>30</v>
      </c>
      <c r="Q9" s="0" t="n">
        <v>0</v>
      </c>
      <c r="R9" s="0" t="n">
        <v>4</v>
      </c>
      <c r="S9" s="1" t="s">
        <v>98</v>
      </c>
      <c r="U9" s="0" t="s">
        <v>99</v>
      </c>
      <c r="V9" s="0" t="s">
        <v>100</v>
      </c>
      <c r="W9" s="0" t="s">
        <v>101</v>
      </c>
      <c r="X9" s="1" t="s">
        <v>102</v>
      </c>
      <c r="AB9" s="0" t="s">
        <v>103</v>
      </c>
      <c r="AD9" s="0" t="s">
        <v>104</v>
      </c>
      <c r="AF9" s="1" t="n"/>
      <c r="AK9" s="1" t="n"/>
      <c r="AO9" s="1" t="n"/>
      <c r="AR9" s="1" t="n"/>
    </row>
    <row r="10">
      <c r="A10" s="1" t="s">
        <v>105</v>
      </c>
      <c r="B10" t="n">
        <v>900102</v>
      </c>
      <c r="D10" s="1" t="s">
        <v>106</v>
      </c>
      <c r="K10" t="n">
        <v>806</v>
      </c>
      <c r="P10" s="3" t="n">
        <v>50</v>
      </c>
      <c r="Q10" t="n">
        <v>0</v>
      </c>
      <c r="R10" t="n">
        <v>4</v>
      </c>
      <c r="S10" s="1" t="s">
        <v>107</v>
      </c>
      <c r="U10" t="s">
        <v>99</v>
      </c>
      <c r="V10" t="s">
        <v>100</v>
      </c>
      <c r="W10" t="s">
        <v>101</v>
      </c>
      <c r="X10" t="s">
        <v>108</v>
      </c>
      <c r="AP10" t="s">
        <v>109</v>
      </c>
      <c r="AQ10" t="s">
        <v>110</v>
      </c>
    </row>
  </sheetData>
  <autoFilter ref="A4:AW4"/>
  <conditionalFormatting sqref="B4:B1048576">
    <cfRule type="duplicateValues" priority="2" dxfId="0"/>
  </conditionalFormatting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tabSelected="1" workbookViewId="0">
      <selection activeCell="Q3" sqref="Q3"/>
    </sheetView>
  </sheetViews>
  <sheetFormatPr baseColWidth="8" defaultRowHeight="16.5"/>
  <cols>
    <col width="8.7109375" bestFit="1" customWidth="1" style="21" min="1" max="1"/>
    <col width="8.42578125" bestFit="1" customWidth="1" style="21" min="2" max="2"/>
    <col width="7.7109375" bestFit="1" customWidth="1" style="21" min="3" max="3"/>
  </cols>
  <sheetData>
    <row r="1" ht="28.5" customHeight="1" s="21" thickBot="1">
      <c r="A1" s="23" t="s">
        <v>0</v>
      </c>
      <c r="B1" s="23" t="s">
        <v>2</v>
      </c>
      <c r="C1" s="23" t="s">
        <v>3</v>
      </c>
      <c r="D1" s="23" t="s">
        <v>111</v>
      </c>
      <c r="E1" s="23" t="s">
        <v>112</v>
      </c>
      <c r="F1" s="23" t="s">
        <v>113</v>
      </c>
      <c r="G1" s="23" t="s">
        <v>114</v>
      </c>
      <c r="H1" s="23" t="s">
        <v>115</v>
      </c>
      <c r="I1" s="23" t="s">
        <v>116</v>
      </c>
      <c r="J1" s="23" t="s">
        <v>16</v>
      </c>
      <c r="K1" s="23" t="s">
        <v>117</v>
      </c>
      <c r="L1" s="23" t="s">
        <v>46</v>
      </c>
      <c r="M1" s="23" t="s">
        <v>47</v>
      </c>
      <c r="N1" s="23" t="s">
        <v>118</v>
      </c>
      <c r="O1" s="23" t="s">
        <v>119</v>
      </c>
      <c r="P1" s="23" t="s">
        <v>120</v>
      </c>
      <c r="Q1" s="23" t="s">
        <v>121</v>
      </c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17.25" customHeight="1" s="21" thickBot="1">
      <c r="A2" s="23" t="s">
        <v>48</v>
      </c>
      <c r="B2" s="23" t="s">
        <v>48</v>
      </c>
      <c r="C2" s="23" t="s">
        <v>48</v>
      </c>
      <c r="D2" s="23" t="s">
        <v>48</v>
      </c>
      <c r="E2" s="23" t="s">
        <v>49</v>
      </c>
      <c r="F2" s="23" t="s">
        <v>48</v>
      </c>
      <c r="G2" s="23" t="s">
        <v>48</v>
      </c>
      <c r="H2" s="23" t="s">
        <v>49</v>
      </c>
      <c r="I2" s="23" t="s">
        <v>50</v>
      </c>
      <c r="J2" s="23" t="s">
        <v>50</v>
      </c>
      <c r="K2" s="23" t="s">
        <v>50</v>
      </c>
      <c r="L2" s="23" t="s">
        <v>48</v>
      </c>
      <c r="M2" s="23" t="s">
        <v>48</v>
      </c>
      <c r="N2" s="23" t="s">
        <v>48</v>
      </c>
      <c r="O2" s="23" t="s">
        <v>48</v>
      </c>
      <c r="P2" s="23" t="s">
        <v>48</v>
      </c>
      <c r="Q2" s="23" t="s">
        <v>48</v>
      </c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341.25" customHeight="1" s="21" thickBot="1">
      <c r="A3" s="23" t="s">
        <v>122</v>
      </c>
      <c r="B3" s="24" t="s">
        <v>123</v>
      </c>
      <c r="C3" s="23" t="s">
        <v>123</v>
      </c>
      <c r="D3" s="24" t="n"/>
      <c r="E3" s="24" t="n"/>
      <c r="F3" s="24" t="n"/>
      <c r="G3" s="24" t="n"/>
      <c r="H3" s="24" t="n"/>
      <c r="I3" s="24" t="n"/>
      <c r="J3" s="24" t="n"/>
      <c r="K3" s="24" t="n"/>
      <c r="L3" s="25" t="s">
        <v>124</v>
      </c>
      <c r="M3" s="25" t="s">
        <v>125</v>
      </c>
      <c r="N3" s="24" t="n"/>
      <c r="O3" s="24" t="n"/>
      <c r="P3" s="24" t="s">
        <v>126</v>
      </c>
      <c r="Q3" s="24" t="s">
        <v>126</v>
      </c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7" sqref="C17"/>
    </sheetView>
  </sheetViews>
  <sheetFormatPr baseColWidth="8" defaultColWidth="8.7109375" defaultRowHeight="16.5"/>
  <cols>
    <col width="18.28515625" customWidth="1" style="21" min="1" max="1"/>
    <col width="8" customWidth="1" style="21" min="2" max="2"/>
    <col width="49.28515625" customWidth="1" style="21" min="3" max="3"/>
    <col width="25.42578125" customWidth="1" style="21" min="4" max="4"/>
    <col width="23.5703125" customWidth="1" style="21" min="5" max="5"/>
    <col width="22.42578125" customWidth="1" style="21" min="6" max="6"/>
    <col width="25.28515625" customWidth="1" style="21" min="7" max="7"/>
    <col width="51.140625" customWidth="1" style="21" min="8" max="8"/>
    <col width="28.5703125" customWidth="1" style="21" min="9" max="10"/>
    <col width="37.5703125" customWidth="1" style="21" min="11" max="11"/>
    <col width="38" customWidth="1" style="21" min="12" max="12"/>
  </cols>
  <sheetData>
    <row r="1">
      <c r="A1" s="0" t="s">
        <v>0</v>
      </c>
      <c r="B1" s="0" t="s">
        <v>33</v>
      </c>
      <c r="C1" s="0" t="s">
        <v>127</v>
      </c>
      <c r="D1" s="0" t="s">
        <v>128</v>
      </c>
      <c r="E1" s="0" t="s">
        <v>129</v>
      </c>
      <c r="F1" s="0" t="s">
        <v>130</v>
      </c>
      <c r="G1" s="0" t="s">
        <v>131</v>
      </c>
      <c r="H1" s="0" t="s">
        <v>132</v>
      </c>
      <c r="I1" s="0" t="s">
        <v>133</v>
      </c>
      <c r="J1" s="0" t="s">
        <v>134</v>
      </c>
      <c r="K1" s="0" t="s">
        <v>135</v>
      </c>
      <c r="L1" s="0" t="s">
        <v>136</v>
      </c>
    </row>
    <row r="2">
      <c r="A2" s="0" t="s">
        <v>48</v>
      </c>
      <c r="C2" s="0" t="s">
        <v>48</v>
      </c>
      <c r="D2" s="0" t="s">
        <v>48</v>
      </c>
      <c r="E2" s="0" t="s">
        <v>48</v>
      </c>
      <c r="F2" s="0" t="s">
        <v>48</v>
      </c>
      <c r="G2" s="0" t="s">
        <v>48</v>
      </c>
      <c r="H2" s="0" t="s">
        <v>48</v>
      </c>
      <c r="I2" s="0" t="s">
        <v>48</v>
      </c>
      <c r="J2" s="0" t="s">
        <v>48</v>
      </c>
      <c r="K2" s="0" t="s">
        <v>48</v>
      </c>
      <c r="L2" s="0" t="s">
        <v>48</v>
      </c>
    </row>
    <row r="4">
      <c r="A4" s="1" t="s">
        <v>89</v>
      </c>
      <c r="B4" s="16" t="s">
        <v>137</v>
      </c>
      <c r="C4" s="17" t="n"/>
      <c r="H4" s="18" t="s">
        <v>138</v>
      </c>
      <c r="J4" s="0" t="s">
        <v>139</v>
      </c>
      <c r="K4" s="0" t="s">
        <v>140</v>
      </c>
      <c r="L4" s="0" t="s">
        <v>141</v>
      </c>
    </row>
  </sheetData>
  <autoFilter ref="A3:L3"/>
  <conditionalFormatting sqref="A5:A1048576">
    <cfRule type="duplicateValues" priority="2" dxfId="0"/>
  </conditionalFormatting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17"/>
  <sheetViews>
    <sheetView zoomScaleNormal="100" workbookViewId="0">
      <pane xSplit="2" ySplit="3" topLeftCell="C4" activePane="bottomRight" state="frozen"/>
      <selection pane="topRight" activeCell="K1" sqref="K1"/>
      <selection pane="bottomLeft" activeCell="A4" sqref="A4"/>
      <selection pane="bottomRight" activeCell="F5" sqref="F5"/>
    </sheetView>
  </sheetViews>
  <sheetFormatPr baseColWidth="8" defaultColWidth="7.42578125" defaultRowHeight="16.5"/>
  <cols>
    <col width="14.140625" bestFit="1" customWidth="1" style="1" min="1" max="1"/>
    <col width="12.140625" bestFit="1" customWidth="1" style="1" min="2" max="2"/>
    <col width="12" bestFit="1" customWidth="1" style="1" min="3" max="3"/>
    <col width="7.42578125" bestFit="1" customWidth="1" style="1" min="4" max="4"/>
    <col width="7.28515625" bestFit="1" customWidth="1" style="1" min="5" max="5"/>
    <col width="13.7109375" bestFit="1" customWidth="1" style="1" min="6" max="6"/>
    <col width="6" bestFit="1" customWidth="1" style="1" min="7" max="7"/>
    <col width="9" bestFit="1" customWidth="1" style="1" min="8" max="8"/>
    <col width="8.28515625" bestFit="1" customWidth="1" style="1" min="9" max="9"/>
    <col width="18.28515625" bestFit="1" customWidth="1" style="1" min="10" max="10"/>
    <col width="6.28515625" bestFit="1" customWidth="1" style="1" min="11" max="11"/>
    <col width="8.42578125" bestFit="1" customWidth="1" style="1" min="12" max="12"/>
    <col width="13.28515625" bestFit="1" customWidth="1" style="1" min="13" max="13"/>
    <col width="5" bestFit="1" customWidth="1" style="1" min="14" max="14"/>
    <col width="7.140625" bestFit="1" customWidth="1" style="1" min="15" max="15"/>
    <col width="6" bestFit="1" customWidth="1" style="1" min="16" max="16"/>
    <col width="5.42578125" bestFit="1" customWidth="1" style="1" min="17" max="17"/>
    <col width="4.7109375" bestFit="1" customWidth="1" style="1" min="18" max="18"/>
    <col width="8.5703125" bestFit="1" customWidth="1" style="1" min="19" max="19"/>
    <col width="9" bestFit="1" customWidth="1" style="1" min="20" max="20"/>
    <col width="9.42578125" bestFit="1" customWidth="1" style="1" min="21" max="21"/>
    <col width="6.7109375" bestFit="1" customWidth="1" style="1" min="22" max="22"/>
    <col width="22.28515625" bestFit="1" customWidth="1" style="1" min="23" max="23"/>
    <col width="11.42578125" bestFit="1" customWidth="1" style="1" min="24" max="24"/>
    <col width="7.140625" bestFit="1" customWidth="1" style="1" min="25" max="25"/>
    <col width="9.140625" bestFit="1" customWidth="1" style="1" min="26" max="26"/>
    <col width="5.42578125" bestFit="1" customWidth="1" style="19" min="27" max="27"/>
    <col width="3.28515625" bestFit="1" customWidth="1" style="2" min="28" max="28"/>
    <col width="7.28515625" bestFit="1" customWidth="1" style="1" min="29" max="29"/>
    <col width="6.7109375" bestFit="1" customWidth="1" style="1" min="30" max="30"/>
    <col width="6.28515625" bestFit="1" customWidth="1" style="1" min="31" max="31"/>
    <col width="6.7109375" bestFit="1" customWidth="1" style="19" min="32" max="32"/>
    <col width="9.28515625" bestFit="1" customWidth="1" style="1" min="33" max="33"/>
    <col width="7.42578125" bestFit="1" customWidth="1" style="1" min="34" max="34"/>
    <col width="8.85546875" bestFit="1" customWidth="1" style="1" min="35" max="35"/>
    <col width="5.85546875" bestFit="1" customWidth="1" style="1" min="36" max="36"/>
    <col width="10.5703125" bestFit="1" customWidth="1" style="1" min="37" max="37"/>
    <col width="7.28515625" bestFit="1" customWidth="1" style="1" min="38" max="38"/>
    <col width="8.7109375" bestFit="1" customWidth="1" style="1" min="39" max="39"/>
    <col width="7.85546875" bestFit="1" customWidth="1" style="1" min="40" max="40"/>
    <col width="8.85546875" bestFit="1" customWidth="1" style="1" min="41" max="41"/>
    <col width="7" bestFit="1" customWidth="1" style="1" min="42" max="42"/>
    <col width="12.5703125" bestFit="1" customWidth="1" style="1" min="43" max="43"/>
    <col width="9.140625" bestFit="1" customWidth="1" style="1" min="44" max="44"/>
    <col width="8.140625" bestFit="1" customWidth="1" style="1" min="45" max="45"/>
    <col width="6.7109375" bestFit="1" customWidth="1" style="1" min="46" max="46"/>
    <col width="7.85546875" bestFit="1" customWidth="1" style="1" min="47" max="47"/>
    <col width="6.7109375" bestFit="1" customWidth="1" style="1" min="48" max="48"/>
    <col width="13.42578125" bestFit="1" customWidth="1" style="1" min="49" max="49"/>
    <col width="10.28515625" bestFit="1" customWidth="1" style="1" min="50" max="50"/>
    <col width="11.28515625" bestFit="1" customWidth="1" style="1" min="51" max="51"/>
    <col width="45" bestFit="1" customWidth="1" style="1" min="52" max="52"/>
    <col width="7.42578125" customWidth="1" style="1" min="53" max="16384"/>
  </cols>
  <sheetData>
    <row r="1">
      <c r="A1" s="5" t="s">
        <v>0</v>
      </c>
      <c r="B1" s="0" t="s">
        <v>2</v>
      </c>
      <c r="C1" s="0" t="s">
        <v>142</v>
      </c>
      <c r="D1" s="0" t="s">
        <v>143</v>
      </c>
      <c r="E1" s="0" t="s">
        <v>144</v>
      </c>
      <c r="F1" s="0" t="s">
        <v>3</v>
      </c>
      <c r="G1" s="0" t="s">
        <v>145</v>
      </c>
      <c r="H1" s="0" t="s">
        <v>146</v>
      </c>
      <c r="I1" s="0" t="s">
        <v>32</v>
      </c>
      <c r="J1" s="5" t="s">
        <v>7</v>
      </c>
      <c r="K1" s="0" t="s">
        <v>7</v>
      </c>
      <c r="L1" s="5" t="s">
        <v>147</v>
      </c>
      <c r="M1" s="5" t="s">
        <v>9</v>
      </c>
      <c r="N1" s="5" t="s">
        <v>10</v>
      </c>
      <c r="O1" s="0" t="s">
        <v>148</v>
      </c>
      <c r="P1" s="5" t="s">
        <v>149</v>
      </c>
      <c r="Q1" s="5" t="s">
        <v>150</v>
      </c>
      <c r="R1" s="0" t="s">
        <v>8</v>
      </c>
      <c r="S1" s="5" t="s">
        <v>12</v>
      </c>
      <c r="T1" s="5" t="s">
        <v>151</v>
      </c>
      <c r="U1" s="0" t="s">
        <v>152</v>
      </c>
      <c r="V1" s="5" t="s">
        <v>45</v>
      </c>
      <c r="W1" s="5" t="s">
        <v>13</v>
      </c>
      <c r="X1" s="5" t="s">
        <v>153</v>
      </c>
      <c r="Y1" s="0" t="s">
        <v>14</v>
      </c>
      <c r="Z1" s="0" t="s">
        <v>154</v>
      </c>
      <c r="AA1" s="20" t="s">
        <v>155</v>
      </c>
      <c r="AB1" s="0" t="s">
        <v>15</v>
      </c>
      <c r="AC1" s="0" t="s">
        <v>16</v>
      </c>
      <c r="AD1" s="0" t="s">
        <v>17</v>
      </c>
      <c r="AE1" s="0" t="s">
        <v>156</v>
      </c>
      <c r="AF1" s="20" t="s">
        <v>157</v>
      </c>
      <c r="AG1" s="0" t="s">
        <v>158</v>
      </c>
      <c r="AH1" s="0" t="s">
        <v>21</v>
      </c>
      <c r="AI1" s="0" t="s">
        <v>29</v>
      </c>
      <c r="AJ1" s="0" t="s">
        <v>159</v>
      </c>
      <c r="AK1" s="0" t="s">
        <v>160</v>
      </c>
      <c r="AL1" s="0" t="s">
        <v>161</v>
      </c>
      <c r="AM1" s="0" t="s">
        <v>162</v>
      </c>
      <c r="AN1" s="0" t="s">
        <v>163</v>
      </c>
      <c r="AO1" s="0" t="s">
        <v>37</v>
      </c>
      <c r="AP1" s="0" t="s">
        <v>38</v>
      </c>
      <c r="AQ1" s="0" t="s">
        <v>164</v>
      </c>
      <c r="AR1" s="0" t="s">
        <v>165</v>
      </c>
      <c r="AS1" s="0" t="s">
        <v>166</v>
      </c>
      <c r="AT1" s="5" t="s">
        <v>20</v>
      </c>
      <c r="AU1" s="5" t="s">
        <v>167</v>
      </c>
      <c r="AV1" s="5" t="s">
        <v>33</v>
      </c>
      <c r="AW1" s="0" t="s">
        <v>168</v>
      </c>
      <c r="AX1" s="0" t="s">
        <v>169</v>
      </c>
      <c r="AY1" s="5" t="s">
        <v>46</v>
      </c>
      <c r="AZ1" s="5" t="s">
        <v>47</v>
      </c>
    </row>
    <row r="2">
      <c r="A2" s="5" t="s">
        <v>48</v>
      </c>
      <c r="B2" s="0" t="s">
        <v>48</v>
      </c>
      <c r="C2" s="0" t="s">
        <v>48</v>
      </c>
      <c r="D2" s="0" t="s">
        <v>48</v>
      </c>
      <c r="E2" s="0" t="s">
        <v>48</v>
      </c>
      <c r="F2" s="0" t="s">
        <v>48</v>
      </c>
      <c r="G2" s="0" t="s">
        <v>48</v>
      </c>
      <c r="H2" s="0" t="s">
        <v>48</v>
      </c>
      <c r="I2" s="0" t="s">
        <v>48</v>
      </c>
      <c r="K2" s="0" t="s">
        <v>50</v>
      </c>
      <c r="L2" s="5" t="s">
        <v>48</v>
      </c>
      <c r="M2" s="5" t="s">
        <v>48</v>
      </c>
      <c r="N2" s="5" t="s">
        <v>51</v>
      </c>
      <c r="O2" s="0" t="s">
        <v>51</v>
      </c>
      <c r="P2" s="5" t="s">
        <v>51</v>
      </c>
      <c r="Q2" s="5" t="s">
        <v>51</v>
      </c>
      <c r="R2" s="0" t="s">
        <v>51</v>
      </c>
      <c r="S2" s="5" t="s">
        <v>50</v>
      </c>
      <c r="T2" s="5" t="s">
        <v>48</v>
      </c>
      <c r="U2" s="5" t="s">
        <v>49</v>
      </c>
      <c r="V2" s="5" t="s">
        <v>49</v>
      </c>
      <c r="W2" s="5" t="s">
        <v>49</v>
      </c>
      <c r="X2" s="5" t="s">
        <v>49</v>
      </c>
      <c r="Y2" s="0" t="s">
        <v>48</v>
      </c>
      <c r="Z2" s="0" t="s">
        <v>48</v>
      </c>
      <c r="AA2" s="20" t="s">
        <v>50</v>
      </c>
      <c r="AB2" s="0" t="s">
        <v>50</v>
      </c>
      <c r="AC2" s="0" t="s">
        <v>50</v>
      </c>
      <c r="AD2" s="0" t="s">
        <v>50</v>
      </c>
      <c r="AE2" s="0" t="s">
        <v>50</v>
      </c>
      <c r="AF2" s="20" t="s">
        <v>50</v>
      </c>
      <c r="AG2" s="0" t="s">
        <v>50</v>
      </c>
      <c r="AH2" s="0" t="s">
        <v>49</v>
      </c>
      <c r="AI2" s="0" t="s">
        <v>29</v>
      </c>
      <c r="AJ2" s="0" t="s">
        <v>50</v>
      </c>
      <c r="AK2" s="0" t="s">
        <v>48</v>
      </c>
      <c r="AL2" s="0" t="s">
        <v>51</v>
      </c>
      <c r="AM2" s="0" t="s">
        <v>51</v>
      </c>
      <c r="AN2" s="0" t="s">
        <v>51</v>
      </c>
      <c r="AO2" s="0" t="s">
        <v>48</v>
      </c>
      <c r="AP2" s="0" t="s">
        <v>48</v>
      </c>
      <c r="AQ2" s="0" t="s">
        <v>48</v>
      </c>
      <c r="AR2" s="0" t="s">
        <v>48</v>
      </c>
      <c r="AS2" s="0" t="s">
        <v>48</v>
      </c>
      <c r="AT2" s="5" t="s">
        <v>49</v>
      </c>
      <c r="AU2" s="5" t="s">
        <v>48</v>
      </c>
      <c r="AV2" s="5" t="s">
        <v>49</v>
      </c>
      <c r="AW2" s="0" t="s">
        <v>49</v>
      </c>
      <c r="AX2" s="0" t="s">
        <v>49</v>
      </c>
      <c r="AY2" s="5" t="s">
        <v>48</v>
      </c>
      <c r="AZ2" s="5" t="s">
        <v>48</v>
      </c>
    </row>
    <row r="3">
      <c r="B3" s="0" t="n"/>
      <c r="C3" s="0" t="n"/>
      <c r="D3" s="0" t="s">
        <v>170</v>
      </c>
      <c r="E3" s="0" t="n"/>
      <c r="F3" s="0" t="n"/>
      <c r="G3" s="0" t="n"/>
      <c r="H3" s="0" t="n"/>
      <c r="I3" s="0" t="s">
        <v>171</v>
      </c>
      <c r="K3" s="0" t="s">
        <v>55</v>
      </c>
      <c r="N3" s="1" t="n">
        <v>0</v>
      </c>
      <c r="O3" s="0" t="n"/>
      <c r="R3" s="0" t="n"/>
      <c r="S3" s="1" t="n">
        <v>100</v>
      </c>
      <c r="U3" s="0" t="n"/>
      <c r="W3" s="5" t="s">
        <v>172</v>
      </c>
      <c r="Y3" s="0" t="s">
        <v>173</v>
      </c>
      <c r="Z3" s="0" t="n"/>
      <c r="AA3" s="20" t="n">
        <v>100</v>
      </c>
      <c r="AB3" s="0" t="n">
        <v>1</v>
      </c>
      <c r="AC3" s="0" t="s">
        <v>174</v>
      </c>
      <c r="AD3" s="0" t="n"/>
      <c r="AE3" s="0" t="s">
        <v>55</v>
      </c>
      <c r="AF3" s="20" t="n">
        <v>1000</v>
      </c>
      <c r="AG3" s="0" t="n"/>
      <c r="AH3" s="0" t="n"/>
      <c r="AI3" s="0" t="n"/>
      <c r="AJ3" s="0" t="n"/>
      <c r="AK3" s="0" t="n"/>
      <c r="AL3" s="0" t="n"/>
      <c r="AM3" s="0" t="n"/>
      <c r="AN3" s="0" t="n"/>
      <c r="AO3" s="0" t="n"/>
      <c r="AP3" s="0" t="n"/>
      <c r="AQ3" s="0" t="n"/>
      <c r="AR3" s="0" t="n"/>
      <c r="AS3" s="0" t="n"/>
      <c r="AW3" s="0" t="n"/>
      <c r="AX3" s="0" t="n"/>
    </row>
    <row r="4">
      <c r="A4" s="1" t="s">
        <v>175</v>
      </c>
      <c r="B4" s="1" t="s">
        <v>176</v>
      </c>
      <c r="F4" s="1" t="s">
        <v>176</v>
      </c>
      <c r="I4" s="0" t="s">
        <v>177</v>
      </c>
      <c r="K4" s="0" t="n"/>
      <c r="L4" s="0" t="s">
        <v>178</v>
      </c>
      <c r="M4" s="1" t="s">
        <v>179</v>
      </c>
      <c r="N4" s="0" t="n">
        <v>1552</v>
      </c>
      <c r="U4" s="0" t="s">
        <v>180</v>
      </c>
      <c r="V4" s="0" t="s">
        <v>181</v>
      </c>
      <c r="W4" s="0" t="s">
        <v>182</v>
      </c>
      <c r="Y4" s="0" t="s">
        <v>183</v>
      </c>
      <c r="AA4" s="19" t="n">
        <v>5000</v>
      </c>
      <c r="AB4" s="2" t="n">
        <v>10</v>
      </c>
      <c r="AC4" s="0" t="n">
        <v>0</v>
      </c>
      <c r="AE4" s="0" t="n">
        <v>80</v>
      </c>
      <c r="AF4" s="19" t="n">
        <v>12000</v>
      </c>
      <c r="AH4" s="0" t="s">
        <v>184</v>
      </c>
      <c r="AY4" s="0" t="s">
        <v>185</v>
      </c>
      <c r="AZ4" s="1" t="s">
        <v>185</v>
      </c>
    </row>
    <row r="5">
      <c r="A5" s="1" t="s">
        <v>186</v>
      </c>
      <c r="B5" s="1" t="s">
        <v>187</v>
      </c>
      <c r="D5" s="22" t="s">
        <v>188</v>
      </c>
      <c r="F5" s="1" t="s">
        <v>187</v>
      </c>
      <c r="I5" s="1" t="s">
        <v>189</v>
      </c>
      <c r="J5" s="1" t="s">
        <v>190</v>
      </c>
      <c r="M5" s="1" t="s">
        <v>191</v>
      </c>
      <c r="N5" s="1" t="n">
        <v>1611</v>
      </c>
      <c r="W5" s="1" t="s">
        <v>192</v>
      </c>
      <c r="Y5" s="1" t="s">
        <v>183</v>
      </c>
      <c r="AA5" s="19" t="n">
        <v>100</v>
      </c>
      <c r="AB5" s="2" t="n">
        <v>1</v>
      </c>
      <c r="AF5" s="19" t="n">
        <v>150</v>
      </c>
      <c r="AH5" s="1" t="s">
        <v>193</v>
      </c>
      <c r="AZ5" s="1" t="s">
        <v>194</v>
      </c>
    </row>
    <row r="6">
      <c r="A6" s="1" t="s">
        <v>195</v>
      </c>
      <c r="B6" s="1" t="s">
        <v>196</v>
      </c>
      <c r="D6" s="22" t="s">
        <v>197</v>
      </c>
      <c r="F6" s="1" t="s">
        <v>196</v>
      </c>
      <c r="I6" s="1" t="s">
        <v>198</v>
      </c>
      <c r="J6" s="1" t="s">
        <v>199</v>
      </c>
      <c r="K6" s="0" t="n"/>
      <c r="M6" s="1" t="s">
        <v>191</v>
      </c>
      <c r="N6" s="1" t="n">
        <v>1611</v>
      </c>
      <c r="U6" s="0" t="s">
        <v>180</v>
      </c>
      <c r="V6" s="0" t="s">
        <v>175</v>
      </c>
      <c r="W6" s="1" t="s">
        <v>200</v>
      </c>
      <c r="Y6" s="1" t="s">
        <v>183</v>
      </c>
      <c r="AA6" s="19" t="n">
        <v>2000</v>
      </c>
      <c r="AB6" s="2" t="n">
        <v>1</v>
      </c>
      <c r="AC6" s="0" t="n">
        <v>0</v>
      </c>
      <c r="AF6" s="19" t="n">
        <v>150</v>
      </c>
      <c r="AH6" s="1" t="s">
        <v>201</v>
      </c>
      <c r="AT6" s="0" t="s">
        <v>202</v>
      </c>
      <c r="AY6" s="0" t="s">
        <v>203</v>
      </c>
      <c r="AZ6" s="1" t="s">
        <v>203</v>
      </c>
    </row>
    <row r="7">
      <c r="A7" s="1" t="s">
        <v>204</v>
      </c>
      <c r="B7" s="1" t="s">
        <v>205</v>
      </c>
      <c r="D7" s="22" t="s">
        <v>197</v>
      </c>
      <c r="F7" s="1" t="s">
        <v>205</v>
      </c>
      <c r="I7" s="1" t="s">
        <v>198</v>
      </c>
      <c r="J7" s="1" t="s">
        <v>199</v>
      </c>
      <c r="K7" s="0" t="n"/>
      <c r="M7" s="1" t="s">
        <v>191</v>
      </c>
      <c r="N7" s="1" t="n">
        <v>1611</v>
      </c>
      <c r="U7" s="0" t="s">
        <v>180</v>
      </c>
      <c r="V7" s="0" t="s">
        <v>175</v>
      </c>
      <c r="W7" s="1" t="s">
        <v>200</v>
      </c>
      <c r="Y7" s="1" t="s">
        <v>183</v>
      </c>
      <c r="AA7" s="19" t="n">
        <v>2000</v>
      </c>
      <c r="AB7" s="2" t="n">
        <v>1</v>
      </c>
      <c r="AC7" s="0" t="n">
        <v>0</v>
      </c>
      <c r="AF7" s="19" t="n">
        <v>150</v>
      </c>
      <c r="AH7" s="1" t="s">
        <v>201</v>
      </c>
      <c r="AT7" s="0" t="s">
        <v>202</v>
      </c>
      <c r="AY7" s="0" t="s">
        <v>206</v>
      </c>
      <c r="AZ7" s="1" t="s">
        <v>206</v>
      </c>
    </row>
    <row r="8">
      <c r="A8" s="1" t="s">
        <v>207</v>
      </c>
      <c r="B8" s="1" t="s">
        <v>208</v>
      </c>
      <c r="D8" s="22" t="s">
        <v>197</v>
      </c>
      <c r="F8" s="1" t="s">
        <v>208</v>
      </c>
      <c r="I8" s="1" t="s">
        <v>198</v>
      </c>
      <c r="J8" s="1" t="s">
        <v>199</v>
      </c>
      <c r="K8" s="0" t="n"/>
      <c r="M8" s="1" t="s">
        <v>191</v>
      </c>
      <c r="N8" s="1" t="n">
        <v>1611</v>
      </c>
      <c r="U8" s="0" t="s">
        <v>180</v>
      </c>
      <c r="V8" s="0" t="s">
        <v>175</v>
      </c>
      <c r="W8" s="1" t="s">
        <v>200</v>
      </c>
      <c r="Y8" s="1" t="s">
        <v>183</v>
      </c>
      <c r="AA8" s="19" t="n">
        <v>2000</v>
      </c>
      <c r="AB8" s="2" t="n">
        <v>1</v>
      </c>
      <c r="AC8" s="0" t="n">
        <v>0</v>
      </c>
      <c r="AF8" s="19" t="n">
        <v>150</v>
      </c>
      <c r="AH8" s="1" t="s">
        <v>201</v>
      </c>
      <c r="AT8" s="0" t="s">
        <v>202</v>
      </c>
      <c r="AY8" s="0" t="s">
        <v>209</v>
      </c>
      <c r="AZ8" s="1" t="s">
        <v>209</v>
      </c>
    </row>
    <row r="9">
      <c r="A9" s="1" t="s">
        <v>210</v>
      </c>
      <c r="B9" s="1" t="s">
        <v>211</v>
      </c>
      <c r="D9" s="22" t="s">
        <v>197</v>
      </c>
      <c r="F9" s="1" t="s">
        <v>211</v>
      </c>
      <c r="I9" s="1" t="s">
        <v>198</v>
      </c>
      <c r="J9" s="1" t="s">
        <v>199</v>
      </c>
      <c r="K9" s="0" t="n"/>
      <c r="M9" s="1" t="s">
        <v>191</v>
      </c>
      <c r="N9" s="1" t="n">
        <v>1611</v>
      </c>
      <c r="U9" s="0" t="s">
        <v>180</v>
      </c>
      <c r="V9" s="0" t="s">
        <v>175</v>
      </c>
      <c r="W9" s="1" t="s">
        <v>200</v>
      </c>
      <c r="Y9" s="1" t="s">
        <v>183</v>
      </c>
      <c r="AA9" s="19" t="n">
        <v>2000</v>
      </c>
      <c r="AB9" s="2" t="n">
        <v>1</v>
      </c>
      <c r="AC9" s="0" t="n">
        <v>0</v>
      </c>
      <c r="AF9" s="19" t="n">
        <v>150</v>
      </c>
      <c r="AH9" s="1" t="s">
        <v>201</v>
      </c>
      <c r="AT9" s="0" t="s">
        <v>202</v>
      </c>
      <c r="AY9" s="0" t="s">
        <v>212</v>
      </c>
      <c r="AZ9" s="1" t="s">
        <v>212</v>
      </c>
    </row>
    <row r="10">
      <c r="A10" s="1" t="s">
        <v>213</v>
      </c>
      <c r="B10" s="1" t="s">
        <v>214</v>
      </c>
      <c r="D10" s="22" t="s">
        <v>197</v>
      </c>
      <c r="F10" s="1" t="s">
        <v>214</v>
      </c>
      <c r="I10" s="1" t="s">
        <v>198</v>
      </c>
      <c r="J10" s="1" t="s">
        <v>199</v>
      </c>
      <c r="K10" s="0" t="n"/>
      <c r="M10" s="1" t="s">
        <v>191</v>
      </c>
      <c r="N10" s="1" t="n">
        <v>1611</v>
      </c>
      <c r="U10" s="0" t="s">
        <v>180</v>
      </c>
      <c r="V10" s="0" t="s">
        <v>175</v>
      </c>
      <c r="W10" s="1" t="s">
        <v>215</v>
      </c>
      <c r="Y10" s="1" t="s">
        <v>183</v>
      </c>
      <c r="AA10" s="19" t="n">
        <v>5000</v>
      </c>
      <c r="AB10" s="2" t="n">
        <v>1</v>
      </c>
      <c r="AC10" s="0" t="n">
        <v>0</v>
      </c>
      <c r="AF10" s="19" t="n">
        <v>150</v>
      </c>
      <c r="AH10" s="0" t="s">
        <v>216</v>
      </c>
      <c r="AT10" s="0" t="s">
        <v>202</v>
      </c>
      <c r="AY10" s="0" t="s">
        <v>217</v>
      </c>
      <c r="AZ10" s="1" t="s">
        <v>217</v>
      </c>
    </row>
    <row r="11">
      <c r="A11" s="1" t="s">
        <v>218</v>
      </c>
      <c r="B11" s="1" t="s">
        <v>219</v>
      </c>
      <c r="F11" s="1" t="s">
        <v>219</v>
      </c>
      <c r="I11" s="0" t="s">
        <v>220</v>
      </c>
      <c r="K11" s="0" t="n"/>
      <c r="M11" s="1" t="s">
        <v>191</v>
      </c>
      <c r="N11" s="0" t="n">
        <v>1208</v>
      </c>
      <c r="U11" s="0" t="s">
        <v>180</v>
      </c>
      <c r="V11" s="0" t="s">
        <v>175</v>
      </c>
      <c r="W11" s="0" t="s">
        <v>221</v>
      </c>
      <c r="Y11" s="0" t="s">
        <v>222</v>
      </c>
      <c r="AA11" s="0" t="n">
        <v>300</v>
      </c>
      <c r="AB11" s="0" t="n">
        <v>1</v>
      </c>
      <c r="AC11" s="0" t="n">
        <v>0</v>
      </c>
      <c r="AF11" s="0" t="n">
        <v>200</v>
      </c>
      <c r="AH11" s="0" t="s">
        <v>223</v>
      </c>
      <c r="AY11" s="0" t="s">
        <v>224</v>
      </c>
      <c r="AZ11" s="1" t="s">
        <v>224</v>
      </c>
    </row>
    <row r="12">
      <c r="A12" s="0" t="s">
        <v>225</v>
      </c>
      <c r="B12" s="0" t="s">
        <v>226</v>
      </c>
      <c r="F12" s="0" t="s">
        <v>226</v>
      </c>
      <c r="I12" s="0" t="s">
        <v>227</v>
      </c>
      <c r="J12" s="0" t="s">
        <v>227</v>
      </c>
      <c r="K12" s="0" t="n"/>
      <c r="M12" s="0" t="s">
        <v>228</v>
      </c>
      <c r="N12" s="0" t="n">
        <v>503</v>
      </c>
      <c r="Y12" s="0" t="s">
        <v>229</v>
      </c>
      <c r="AA12" s="0" t="n">
        <v>500</v>
      </c>
      <c r="AB12" s="0" t="n">
        <v>1</v>
      </c>
      <c r="AF12" s="0" t="n">
        <v>5000</v>
      </c>
      <c r="AH12" s="0" t="s">
        <v>230</v>
      </c>
      <c r="AZ12" s="0" t="s">
        <v>231</v>
      </c>
    </row>
    <row r="13">
      <c r="A13" s="0" t="s">
        <v>232</v>
      </c>
      <c r="B13" s="0" t="s">
        <v>233</v>
      </c>
      <c r="F13" s="0" t="s">
        <v>233</v>
      </c>
      <c r="I13" s="0" t="s">
        <v>234</v>
      </c>
      <c r="J13" s="0" t="s">
        <v>235</v>
      </c>
      <c r="K13" s="0" t="n"/>
      <c r="M13" s="0" t="s">
        <v>191</v>
      </c>
      <c r="N13" s="0" t="n">
        <v>530</v>
      </c>
      <c r="Y13" s="0" t="s">
        <v>236</v>
      </c>
      <c r="AA13" s="0" t="n">
        <v>200</v>
      </c>
      <c r="AB13" s="0" t="n">
        <v>1</v>
      </c>
      <c r="AF13" s="0" t="n">
        <v>500</v>
      </c>
      <c r="AH13" s="0" t="s">
        <v>237</v>
      </c>
      <c r="AZ13" s="0" t="s">
        <v>238</v>
      </c>
    </row>
    <row r="14">
      <c r="A14" s="0" t="s">
        <v>239</v>
      </c>
      <c r="B14" s="0" t="s">
        <v>240</v>
      </c>
      <c r="F14" s="0" t="s">
        <v>240</v>
      </c>
      <c r="I14" s="0" t="s">
        <v>227</v>
      </c>
      <c r="J14" s="0" t="s">
        <v>227</v>
      </c>
      <c r="K14" s="0" t="n"/>
      <c r="M14" s="0" t="s">
        <v>228</v>
      </c>
      <c r="N14" s="0" t="n">
        <v>503</v>
      </c>
      <c r="Y14" s="0" t="s">
        <v>229</v>
      </c>
      <c r="AA14" s="0" t="n">
        <v>10</v>
      </c>
      <c r="AB14" s="0" t="n">
        <v>1</v>
      </c>
      <c r="AF14" s="0" t="n">
        <v>2000</v>
      </c>
      <c r="AZ14" s="0" t="s">
        <v>241</v>
      </c>
    </row>
    <row r="15">
      <c r="A15" s="0" t="s">
        <v>242</v>
      </c>
      <c r="B15" s="0" t="s">
        <v>243</v>
      </c>
      <c r="F15" s="0" t="s">
        <v>243</v>
      </c>
      <c r="I15" s="0" t="s">
        <v>220</v>
      </c>
      <c r="K15" s="0" t="n"/>
      <c r="M15" s="0" t="s">
        <v>191</v>
      </c>
      <c r="N15" s="0" t="n">
        <v>504</v>
      </c>
      <c r="U15" s="0" t="s">
        <v>180</v>
      </c>
      <c r="V15" s="0" t="s">
        <v>175</v>
      </c>
      <c r="W15" s="0" t="s">
        <v>244</v>
      </c>
      <c r="Y15" s="0" t="s">
        <v>236</v>
      </c>
      <c r="AA15" s="0" t="n">
        <v>1000</v>
      </c>
      <c r="AB15" s="0" t="n">
        <v>1</v>
      </c>
      <c r="AC15" s="0" t="n">
        <v>0</v>
      </c>
      <c r="AF15" s="0" t="n">
        <v>100</v>
      </c>
      <c r="AH15" s="0" t="s">
        <v>245</v>
      </c>
      <c r="AY15" s="0" t="s">
        <v>246</v>
      </c>
      <c r="AZ15" s="0" t="s">
        <v>246</v>
      </c>
    </row>
    <row r="16">
      <c r="A16" s="0" t="s">
        <v>247</v>
      </c>
      <c r="B16" s="0" t="s">
        <v>248</v>
      </c>
      <c r="F16" s="0" t="s">
        <v>248</v>
      </c>
      <c r="I16" s="0" t="s">
        <v>220</v>
      </c>
      <c r="K16" s="0" t="n"/>
      <c r="M16" s="0" t="s">
        <v>191</v>
      </c>
      <c r="N16" s="0" t="n">
        <v>530</v>
      </c>
      <c r="U16" s="0" t="s">
        <v>180</v>
      </c>
      <c r="V16" s="0" t="s">
        <v>175</v>
      </c>
      <c r="W16" s="0" t="s">
        <v>244</v>
      </c>
      <c r="Y16" s="0" t="s">
        <v>236</v>
      </c>
      <c r="AA16" s="0" t="n">
        <v>1200</v>
      </c>
      <c r="AB16" s="0" t="n">
        <v>1</v>
      </c>
      <c r="AC16" s="0" t="n">
        <v>0</v>
      </c>
      <c r="AF16" s="0" t="n">
        <v>100</v>
      </c>
      <c r="AH16" s="0" t="s">
        <v>249</v>
      </c>
      <c r="AY16" s="0" t="s">
        <v>250</v>
      </c>
      <c r="AZ16" s="0" t="s">
        <v>250</v>
      </c>
    </row>
    <row r="17">
      <c r="A17" s="0" t="s">
        <v>251</v>
      </c>
      <c r="B17" s="0" t="s">
        <v>252</v>
      </c>
      <c r="F17" s="0" t="s">
        <v>252</v>
      </c>
      <c r="I17" s="0" t="s">
        <v>220</v>
      </c>
      <c r="M17" s="0" t="s">
        <v>228</v>
      </c>
      <c r="N17" s="0" t="n">
        <v>1208</v>
      </c>
      <c r="Y17" s="0" t="s">
        <v>222</v>
      </c>
      <c r="AA17" s="0" t="n">
        <v>0</v>
      </c>
      <c r="AB17" s="0" t="n">
        <v>1</v>
      </c>
      <c r="AF17" s="0" t="n">
        <v>99999</v>
      </c>
      <c r="AH17" s="0" t="s">
        <v>253</v>
      </c>
      <c r="AT17" s="0" t="s">
        <v>254</v>
      </c>
      <c r="AY17" s="0" t="s">
        <v>255</v>
      </c>
      <c r="AZ17" s="0" t="s">
        <v>255</v>
      </c>
    </row>
  </sheetData>
  <autoFilter ref="A3:AZ3"/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片山智晴</dc:creator>
  <dc:language>ja-JP</dc:language>
  <dcterms:created xsi:type="dcterms:W3CDTF">2022-10-21T12:41:52Z</dcterms:created>
  <dcterms:modified xsi:type="dcterms:W3CDTF">2026-04-12T16:24:09Z</dcterms:modified>
  <cp:lastModifiedBy>Michael Counts</cp:lastModifiedBy>
  <cp:revision>3124</cp:revision>
</cp:coreProperties>
</file>